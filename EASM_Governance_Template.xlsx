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sset Register &amp; Governance" sheetId="2" state="visible" r:id="rId4"/>
    <sheet name="Executive 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<sst xmlns="http://schemas.openxmlformats.org/spreadsheetml/2006/main" count="83" uniqueCount="78">
  <si>
    <t xml:space="preserve">EASM Governance Assessment — Working Template</t>
  </si>
  <si>
    <t xml:space="preserve">Purpose: assess whether the bank's externally-facing digital assets (web, cloud, DNS, APIs, third parties) are properly discovered, owned and maintained across their lifecycle — and identify the gap between what we know we have and what actually exists (shadow IT).</t>
  </si>
  <si>
    <t xml:space="preserve">How to use this workbook</t>
  </si>
  <si>
    <t xml:space="preserve">1. Your colleague</t>
  </si>
  <si>
    <t xml:space="preserve">provides the raw links / asset lists (source data) discovered by the EASM tool or manual recon.</t>
  </si>
  <si>
    <t xml:space="preserve">2. You</t>
  </si>
  <si>
    <t xml:space="preserve">fill in the 'Asset Register &amp; Governance' tab, one row per asset or per homogeneous group of assets (e.g. all marketing subdomains on Vendor X).</t>
  </si>
  <si>
    <t xml:space="preserve">3. Answer the 5W1H columns</t>
  </si>
  <si>
    <t xml:space="preserve">factually, based on what you can evidence — leave blank / mark 'Unknown' rather than guessing.</t>
  </si>
  <si>
    <t xml:space="preserve">4. Assign a Governance Status</t>
  </si>
  <si>
    <t xml:space="preserve">and a RAG rating per row using the dropdowns provided.</t>
  </si>
  <si>
    <t xml:space="preserve">5. The 'Executive Summary' tab</t>
  </si>
  <si>
    <t xml:space="preserve">auto-calculates from your ratings — this is the slide-ready view for management.</t>
  </si>
  <si>
    <t xml:space="preserve">Governance Status definitions</t>
  </si>
  <si>
    <t xml:space="preserve">Known &amp; Managed — Asset is in the CMDB/inventory, has a named owner, is monitored and has a patch/renewal and decommission process. → GREEN</t>
  </si>
  <si>
    <t xml:space="preserve">Known but Gaps — Asset is identified/inventoried but missing one or more controls (no clear owner, not monitored, no decommission process). → AMBER</t>
  </si>
  <si>
    <t xml:space="preserve">Shadow IT / Unknown — Asset was found by the EASM tool but does NOT appear in the official CMDB/inventory — nobody currently claims ownership. → RED</t>
  </si>
  <si>
    <t xml:space="preserve">The 5 W + H, applied to an asset</t>
  </si>
  <si>
    <t xml:space="preserve">WHO created it — Which team / role / individual provisioned the asset (devops, business unit, marketing agency, shadow contractor...).</t>
  </si>
  <si>
    <t xml:space="preserve">WHO owns it now — Named accountable owner today — a person or a team, not 'IT' in general.</t>
  </si>
  <si>
    <t xml:space="preserve">WHAT it is — Type of asset: public website, subdomain, cloud storage bucket, API endpoint, VPN gateway, certificate, SaaS tenant...</t>
  </si>
  <si>
    <t xml:space="preserve">WHEN created — Approximate creation/first-seen date. Helps flag long-forgotten assets.</t>
  </si>
  <si>
    <t xml:space="preserve">WHERE hosted — Cloud provider / on-prem / third-party vendor / geography, if relevant.</t>
  </si>
  <si>
    <t xml:space="preserve">WHY it exists — Business justification — campaign site, legacy app, partner integration, test environment left running...</t>
  </si>
  <si>
    <t xml:space="preserve">HOW discovered — Which source surfaced it: official CMDB, EASM tool scan, manual recon, incident, audit.</t>
  </si>
  <si>
    <t xml:space="preserve">Asset Category</t>
  </si>
  <si>
    <t xml:space="preserve">Asset / Source Link
(from colleague)</t>
  </si>
  <si>
    <t xml:space="preserve">WHO created it</t>
  </si>
  <si>
    <t xml:space="preserve">WHO owns it now</t>
  </si>
  <si>
    <t xml:space="preserve">WHAT is it</t>
  </si>
  <si>
    <t xml:space="preserve">WHEN created
(approx.)</t>
  </si>
  <si>
    <t xml:space="preserve">WHERE hosted</t>
  </si>
  <si>
    <t xml:space="preserve">WHY it exists</t>
  </si>
  <si>
    <t xml:space="preserve">HOW discovered</t>
  </si>
  <si>
    <t xml:space="preserve">In official CMDB?
(Yes/No)</t>
  </si>
  <si>
    <t xml:space="preserve">Actively monitored?
(Yes/No)</t>
  </si>
  <si>
    <t xml:space="preserve">Patch / renewal
process in place?</t>
  </si>
  <si>
    <t xml:space="preserve">Decommission
process exists?</t>
  </si>
  <si>
    <t xml:space="preserve">Governance Status</t>
  </si>
  <si>
    <t xml:space="preserve">RAG Rating</t>
  </si>
  <si>
    <t xml:space="preserve">Gap identified</t>
  </si>
  <si>
    <t xml:space="preserve">Recommendation</t>
  </si>
  <si>
    <t xml:space="preserve">Evidence / Notes</t>
  </si>
  <si>
    <t xml:space="preserve">Web / Domains</t>
  </si>
  <si>
    <t xml:space="preserve">app-legacy.bnpparibas-example.com (link from colleague)</t>
  </si>
  <si>
    <t xml:space="preserve">Marketing agency (external, 2021 campaign)</t>
  </si>
  <si>
    <t xml:space="preserve">Unknown — no named owner found</t>
  </si>
  <si>
    <t xml:space="preserve">Marketing landing page, still resolving</t>
  </si>
  <si>
    <t xml:space="preserve">~2021 (certificate issue date)</t>
  </si>
  <si>
    <t xml:space="preserve">Third-party host (OVH)</t>
  </si>
  <si>
    <t xml:space="preserve">Was used for a product campaign, campaign ended 2021</t>
  </si>
  <si>
    <t xml:space="preserve">EASM tool scan (certificate transparency log)</t>
  </si>
  <si>
    <t xml:space="preserve">No</t>
  </si>
  <si>
    <t xml:space="preserve">Shadow IT / Unknown</t>
  </si>
  <si>
    <t xml:space="preserve">Red</t>
  </si>
  <si>
    <t xml:space="preserve">Not in CMDB, no owner, TLS cert expired, still publicly resolvable</t>
  </si>
  <si>
    <t xml:space="preserve">Assign temporary owner, confirm business need, decommission if none, add to CMDB</t>
  </si>
  <si>
    <t xml:space="preserve">Screenshot + cert log entry saved in evidence folder</t>
  </si>
  <si>
    <t xml:space="preserve">EASM Governance — Executive Summary</t>
  </si>
  <si>
    <t xml:space="preserve">Auto-calculated from the 'Asset Register &amp; Governance' tab. Fill headline gap/recommendation manually per category.</t>
  </si>
  <si>
    <t xml:space="preserve">Assets Assessed</t>
  </si>
  <si>
    <t xml:space="preserve">Green
(Managed)</t>
  </si>
  <si>
    <t xml:space="preserve">Amber
(Gaps)</t>
  </si>
  <si>
    <t xml:space="preserve">Red
(Shadow IT)</t>
  </si>
  <si>
    <t xml:space="preserve">Overall RAG</t>
  </si>
  <si>
    <t xml:space="preserve">% Not in CMDB</t>
  </si>
  <si>
    <t xml:space="preserve">Headline Gap</t>
  </si>
  <si>
    <t xml:space="preserve">Recommendation to Management</t>
  </si>
  <si>
    <t xml:space="preserve">Cloud Infra</t>
  </si>
  <si>
    <t xml:space="preserve">DNS / Subdomains</t>
  </si>
  <si>
    <t xml:space="preserve">Certificates</t>
  </si>
  <si>
    <t xml:space="preserve">APIs</t>
  </si>
  <si>
    <t xml:space="preserve">Network / IP ranges</t>
  </si>
  <si>
    <t xml:space="preserve">Third-party / SaaS</t>
  </si>
  <si>
    <t xml:space="preserve">Email / Messaging</t>
  </si>
  <si>
    <t xml:space="preserve">Other</t>
  </si>
  <si>
    <t xml:space="preserve">TOTAL</t>
  </si>
  <si>
    <t xml:space="preserve">Note: rows are matched by exact text in 'Asset Category' — use only the categories listed in the dropdown on the Asset Register tab so they roll up correctly here. The example row (row 2) on the register tab is excluded automatically since counting starts at row 3.</t>
  </si>
</sst>
</file>

<file path=xl/styles.xml><?xml version="1.0" encoding="utf-8"?>
<styleSheet xmlns="http://schemas.openxmlformats.org/spreadsheetml/2006/main">
  <numFmts count="3">
    <numFmt numFmtId="164" formatCode="General"/>
    <numFmt numFmtId="165" formatCode="General"/>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000000"/>
      <name val="Arial"/>
      <family val="0"/>
      <charset val="1"/>
    </font>
    <font>
      <b val="true"/>
      <sz val="11"/>
      <color rgb="FF1F3864"/>
      <name val="Arial"/>
      <family val="0"/>
      <charset val="1"/>
    </font>
    <font>
      <i val="true"/>
      <sz val="10"/>
      <color rgb="FF000000"/>
      <name val="Arial"/>
      <family val="0"/>
      <charset val="1"/>
    </font>
    <font>
      <b val="true"/>
      <sz val="12"/>
      <color rgb="FF1F3864"/>
      <name val="Arial"/>
      <family val="0"/>
      <charset val="1"/>
    </font>
    <font>
      <sz val="10"/>
      <color rgb="FF000000"/>
      <name val="Arial"/>
      <family val="0"/>
      <charset val="1"/>
    </font>
    <font>
      <b val="true"/>
      <sz val="11"/>
      <color rgb="FFFFFFFF"/>
      <name val="Arial"/>
      <family val="0"/>
      <charset val="1"/>
    </font>
    <font>
      <b val="true"/>
      <i val="true"/>
      <sz val="9"/>
      <name val="Arial"/>
      <family val="0"/>
      <charset val="1"/>
    </font>
    <font>
      <i val="true"/>
      <sz val="9"/>
      <color rgb="FF000000"/>
      <name val="Arial"/>
      <family val="0"/>
      <charset val="1"/>
    </font>
    <font>
      <b val="true"/>
      <sz val="10"/>
      <color rgb="FFFFFFFF"/>
      <name val="Arial"/>
      <family val="0"/>
      <charset val="1"/>
    </font>
    <font>
      <b val="true"/>
      <sz val="10"/>
      <color rgb="FF000000"/>
      <name val="Arial"/>
      <family val="0"/>
      <charset val="1"/>
    </font>
    <font>
      <sz val="10"/>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4" customFormat="false" ht="45" hidden="false" customHeight="true" outlineLevel="0" collapsed="false">
      <c r="B4" s="2" t="s">
        <v>1</v>
      </c>
    </row>
    <row r="6" customFormat="false" ht="15" hidden="false" customHeight="false" outlineLevel="0" collapsed="false">
      <c r="B6" s="3" t="s">
        <v>2</v>
      </c>
    </row>
    <row r="8" customFormat="false" ht="15" hidden="false" customHeight="false" outlineLevel="0" collapsed="false">
      <c r="B8" s="3" t="s">
        <v>3</v>
      </c>
    </row>
    <row r="9" customFormat="false" ht="27.75" hidden="false" customHeight="true" outlineLevel="0" collapsed="false">
      <c r="B9" s="4" t="s">
        <v>4</v>
      </c>
    </row>
    <row r="11" customFormat="false" ht="15" hidden="false" customHeight="false" outlineLevel="0" collapsed="false">
      <c r="B11" s="3" t="s">
        <v>5</v>
      </c>
    </row>
    <row r="12" customFormat="false" ht="27.75" hidden="false" customHeight="true" outlineLevel="0" collapsed="false">
      <c r="B12" s="4" t="s">
        <v>6</v>
      </c>
    </row>
    <row r="14" customFormat="false" ht="15" hidden="false" customHeight="false" outlineLevel="0" collapsed="false">
      <c r="B14" s="3" t="s">
        <v>7</v>
      </c>
    </row>
    <row r="15" customFormat="false" ht="27.75" hidden="false" customHeight="true" outlineLevel="0" collapsed="false">
      <c r="B15" s="4" t="s">
        <v>8</v>
      </c>
    </row>
    <row r="17" customFormat="false" ht="15" hidden="false" customHeight="false" outlineLevel="0" collapsed="false">
      <c r="B17" s="3" t="s">
        <v>9</v>
      </c>
    </row>
    <row r="18" customFormat="false" ht="27.75" hidden="false" customHeight="true" outlineLevel="0" collapsed="false">
      <c r="B18" s="4" t="s">
        <v>10</v>
      </c>
    </row>
    <row r="20" customFormat="false" ht="15" hidden="false" customHeight="false" outlineLevel="0" collapsed="false">
      <c r="B20" s="3" t="s">
        <v>11</v>
      </c>
    </row>
    <row r="21" customFormat="false" ht="27.75" hidden="false" customHeight="true" outlineLevel="0" collapsed="false">
      <c r="B21" s="4" t="s">
        <v>12</v>
      </c>
    </row>
    <row r="24" customFormat="false" ht="15" hidden="false" customHeight="false" outlineLevel="0" collapsed="false">
      <c r="B24" s="5" t="s">
        <v>13</v>
      </c>
    </row>
    <row r="25" customFormat="false" ht="30" hidden="false" customHeight="true" outlineLevel="0" collapsed="false">
      <c r="B25" s="6" t="s">
        <v>14</v>
      </c>
    </row>
    <row r="26" customFormat="false" ht="30" hidden="false" customHeight="true" outlineLevel="0" collapsed="false">
      <c r="B26" s="6" t="s">
        <v>15</v>
      </c>
    </row>
    <row r="27" customFormat="false" ht="30" hidden="false" customHeight="true" outlineLevel="0" collapsed="false">
      <c r="B27" s="6" t="s">
        <v>16</v>
      </c>
    </row>
    <row r="29" customFormat="false" ht="15" hidden="false" customHeight="false" outlineLevel="0" collapsed="false">
      <c r="B29" s="5" t="s">
        <v>17</v>
      </c>
    </row>
    <row r="30" customFormat="false" ht="25.5" hidden="false" customHeight="true" outlineLevel="0" collapsed="false">
      <c r="B30" s="6" t="s">
        <v>18</v>
      </c>
    </row>
    <row r="31" customFormat="false" ht="25.5" hidden="false" customHeight="true" outlineLevel="0" collapsed="false">
      <c r="B31" s="6" t="s">
        <v>19</v>
      </c>
    </row>
    <row r="32" customFormat="false" ht="25.5" hidden="false" customHeight="true" outlineLevel="0" collapsed="false">
      <c r="B32" s="6" t="s">
        <v>20</v>
      </c>
    </row>
    <row r="33" customFormat="false" ht="25.5" hidden="false" customHeight="true" outlineLevel="0" collapsed="false">
      <c r="B33" s="6" t="s">
        <v>21</v>
      </c>
    </row>
    <row r="34" customFormat="false" ht="25.5" hidden="false" customHeight="true" outlineLevel="0" collapsed="false">
      <c r="B34" s="6" t="s">
        <v>22</v>
      </c>
    </row>
    <row r="35" customFormat="false" ht="25.5" hidden="false" customHeight="true" outlineLevel="0" collapsed="false">
      <c r="B35" s="6" t="s">
        <v>23</v>
      </c>
    </row>
    <row r="36" customFormat="false" ht="25.5" hidden="false" customHeight="true" outlineLevel="0" collapsed="false">
      <c r="B36" s="6"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4" min="3" style="0" width="16"/>
    <col collapsed="false" customWidth="true" hidden="false" outlineLevel="0" max="5" min="5" style="0" width="20"/>
    <col collapsed="false" customWidth="true" hidden="false" outlineLevel="0" max="6" min="6" style="0" width="12"/>
    <col collapsed="false" customWidth="true" hidden="false" outlineLevel="0" max="7" min="7" style="0" width="16"/>
    <col collapsed="false" customWidth="true" hidden="false" outlineLevel="0" max="8" min="8" style="0" width="20"/>
    <col collapsed="false" customWidth="true" hidden="false" outlineLevel="0" max="9" min="9" style="0" width="16"/>
    <col collapsed="false" customWidth="true" hidden="false" outlineLevel="0" max="11" min="10" style="0" width="12"/>
    <col collapsed="false" customWidth="true" hidden="false" outlineLevel="0" max="13" min="12" style="0" width="14"/>
    <col collapsed="false" customWidth="true" hidden="false" outlineLevel="0" max="14" min="14" style="0" width="16"/>
    <col collapsed="false" customWidth="true" hidden="false" outlineLevel="0" max="15" min="15" style="0" width="10"/>
    <col collapsed="false" customWidth="true" hidden="false" outlineLevel="0" max="17" min="16" style="0" width="24"/>
    <col collapsed="false" customWidth="true" hidden="false" outlineLevel="0" max="18" min="18" style="0" width="22"/>
  </cols>
  <sheetData>
    <row r="1" customFormat="false" ht="33.75" hidden="false" customHeight="true" outlineLevel="0" collapsed="false">
      <c r="A1" s="7" t="s">
        <v>25</v>
      </c>
      <c r="B1" s="7" t="s">
        <v>26</v>
      </c>
      <c r="C1" s="7" t="s">
        <v>27</v>
      </c>
      <c r="D1" s="7" t="s">
        <v>28</v>
      </c>
      <c r="E1" s="7" t="s">
        <v>29</v>
      </c>
      <c r="F1" s="7" t="s">
        <v>30</v>
      </c>
      <c r="G1" s="7" t="s">
        <v>31</v>
      </c>
      <c r="H1" s="7" t="s">
        <v>32</v>
      </c>
      <c r="I1" s="7" t="s">
        <v>33</v>
      </c>
      <c r="J1" s="7" t="s">
        <v>34</v>
      </c>
      <c r="K1" s="7" t="s">
        <v>35</v>
      </c>
      <c r="L1" s="7" t="s">
        <v>36</v>
      </c>
      <c r="M1" s="7" t="s">
        <v>37</v>
      </c>
      <c r="N1" s="7" t="s">
        <v>38</v>
      </c>
      <c r="O1" s="7" t="s">
        <v>39</v>
      </c>
      <c r="P1" s="7" t="s">
        <v>40</v>
      </c>
      <c r="Q1" s="7" t="s">
        <v>41</v>
      </c>
      <c r="R1" s="7" t="s">
        <v>42</v>
      </c>
    </row>
    <row r="2" customFormat="false" ht="60" hidden="false" customHeight="true" outlineLevel="0" collapsed="false">
      <c r="A2" s="8" t="s">
        <v>43</v>
      </c>
      <c r="B2" s="9" t="s">
        <v>44</v>
      </c>
      <c r="C2" s="9" t="s">
        <v>45</v>
      </c>
      <c r="D2" s="9" t="s">
        <v>46</v>
      </c>
      <c r="E2" s="9" t="s">
        <v>47</v>
      </c>
      <c r="F2" s="9" t="s">
        <v>48</v>
      </c>
      <c r="G2" s="9" t="s">
        <v>49</v>
      </c>
      <c r="H2" s="9" t="s">
        <v>50</v>
      </c>
      <c r="I2" s="9" t="s">
        <v>51</v>
      </c>
      <c r="J2" s="9" t="s">
        <v>52</v>
      </c>
      <c r="K2" s="9" t="s">
        <v>52</v>
      </c>
      <c r="L2" s="9" t="s">
        <v>52</v>
      </c>
      <c r="M2" s="9" t="s">
        <v>52</v>
      </c>
      <c r="N2" s="9" t="s">
        <v>53</v>
      </c>
      <c r="O2" s="9" t="s">
        <v>54</v>
      </c>
      <c r="P2" s="9" t="s">
        <v>55</v>
      </c>
      <c r="Q2" s="9" t="s">
        <v>56</v>
      </c>
      <c r="R2" s="9" t="s">
        <v>57</v>
      </c>
    </row>
    <row r="3" customFormat="false" ht="19.5" hidden="false" customHeight="true" outlineLevel="0" collapsed="false">
      <c r="A3" s="10"/>
      <c r="B3" s="10"/>
      <c r="C3" s="10"/>
      <c r="D3" s="10"/>
      <c r="E3" s="10"/>
      <c r="F3" s="10"/>
      <c r="G3" s="10"/>
      <c r="H3" s="10"/>
      <c r="I3" s="10"/>
      <c r="J3" s="10"/>
      <c r="K3" s="10"/>
      <c r="L3" s="10"/>
      <c r="M3" s="10"/>
      <c r="N3" s="10"/>
      <c r="O3" s="10"/>
      <c r="P3" s="10"/>
      <c r="Q3" s="10"/>
      <c r="R3" s="10"/>
    </row>
    <row r="4" customFormat="false" ht="19.5" hidden="false" customHeight="true" outlineLevel="0" collapsed="false">
      <c r="A4" s="11"/>
      <c r="B4" s="11"/>
      <c r="C4" s="11"/>
      <c r="D4" s="11"/>
      <c r="E4" s="11"/>
      <c r="F4" s="11"/>
      <c r="G4" s="11"/>
      <c r="H4" s="11"/>
      <c r="I4" s="11"/>
      <c r="J4" s="11"/>
      <c r="K4" s="11"/>
      <c r="L4" s="11"/>
      <c r="M4" s="11"/>
      <c r="N4" s="11"/>
      <c r="O4" s="11"/>
      <c r="P4" s="11"/>
      <c r="Q4" s="11"/>
      <c r="R4" s="11"/>
    </row>
    <row r="5" customFormat="false" ht="19.5" hidden="false" customHeight="true" outlineLevel="0" collapsed="false">
      <c r="A5" s="10"/>
      <c r="B5" s="10"/>
      <c r="C5" s="10"/>
      <c r="D5" s="10"/>
      <c r="E5" s="10"/>
      <c r="F5" s="10"/>
      <c r="G5" s="10"/>
      <c r="H5" s="10"/>
      <c r="I5" s="10"/>
      <c r="J5" s="10"/>
      <c r="K5" s="10"/>
      <c r="L5" s="10"/>
      <c r="M5" s="10"/>
      <c r="N5" s="10"/>
      <c r="O5" s="10"/>
      <c r="P5" s="10"/>
      <c r="Q5" s="10"/>
      <c r="R5" s="10"/>
    </row>
    <row r="6" customFormat="false" ht="19.5" hidden="false" customHeight="true" outlineLevel="0" collapsed="false">
      <c r="A6" s="11"/>
      <c r="B6" s="11"/>
      <c r="C6" s="11"/>
      <c r="D6" s="11"/>
      <c r="E6" s="11"/>
      <c r="F6" s="11"/>
      <c r="G6" s="11"/>
      <c r="H6" s="11"/>
      <c r="I6" s="11"/>
      <c r="J6" s="11"/>
      <c r="K6" s="11"/>
      <c r="L6" s="11"/>
      <c r="M6" s="11"/>
      <c r="N6" s="11"/>
      <c r="O6" s="11"/>
      <c r="P6" s="11"/>
      <c r="Q6" s="11"/>
      <c r="R6" s="11"/>
    </row>
    <row r="7" customFormat="false" ht="19.5" hidden="false" customHeight="true" outlineLevel="0" collapsed="false">
      <c r="A7" s="10"/>
      <c r="B7" s="10"/>
      <c r="C7" s="10"/>
      <c r="D7" s="10"/>
      <c r="E7" s="10"/>
      <c r="F7" s="10"/>
      <c r="G7" s="10"/>
      <c r="H7" s="10"/>
      <c r="I7" s="10"/>
      <c r="J7" s="10"/>
      <c r="K7" s="10"/>
      <c r="L7" s="10"/>
      <c r="M7" s="10"/>
      <c r="N7" s="10"/>
      <c r="O7" s="10"/>
      <c r="P7" s="10"/>
      <c r="Q7" s="10"/>
      <c r="R7" s="10"/>
    </row>
    <row r="8" customFormat="false" ht="19.5" hidden="false" customHeight="true" outlineLevel="0" collapsed="false">
      <c r="A8" s="11"/>
      <c r="B8" s="11"/>
      <c r="C8" s="11"/>
      <c r="D8" s="11"/>
      <c r="E8" s="11"/>
      <c r="F8" s="11"/>
      <c r="G8" s="11"/>
      <c r="H8" s="11"/>
      <c r="I8" s="11"/>
      <c r="J8" s="11"/>
      <c r="K8" s="11"/>
      <c r="L8" s="11"/>
      <c r="M8" s="11"/>
      <c r="N8" s="11"/>
      <c r="O8" s="11"/>
      <c r="P8" s="11"/>
      <c r="Q8" s="11"/>
      <c r="R8" s="11"/>
    </row>
    <row r="9" customFormat="false" ht="19.5" hidden="false" customHeight="true" outlineLevel="0" collapsed="false">
      <c r="A9" s="10"/>
      <c r="B9" s="10"/>
      <c r="C9" s="10"/>
      <c r="D9" s="10"/>
      <c r="E9" s="10"/>
      <c r="F9" s="10"/>
      <c r="G9" s="10"/>
      <c r="H9" s="10"/>
      <c r="I9" s="10"/>
      <c r="J9" s="10"/>
      <c r="K9" s="10"/>
      <c r="L9" s="10"/>
      <c r="M9" s="10"/>
      <c r="N9" s="10"/>
      <c r="O9" s="10"/>
      <c r="P9" s="10"/>
      <c r="Q9" s="10"/>
      <c r="R9" s="10"/>
    </row>
    <row r="10" customFormat="false" ht="19.5" hidden="false" customHeight="true" outlineLevel="0" collapsed="false">
      <c r="A10" s="11"/>
      <c r="B10" s="11"/>
      <c r="C10" s="11"/>
      <c r="D10" s="11"/>
      <c r="E10" s="11"/>
      <c r="F10" s="11"/>
      <c r="G10" s="11"/>
      <c r="H10" s="11"/>
      <c r="I10" s="11"/>
      <c r="J10" s="11"/>
      <c r="K10" s="11"/>
      <c r="L10" s="11"/>
      <c r="M10" s="11"/>
      <c r="N10" s="11"/>
      <c r="O10" s="11"/>
      <c r="P10" s="11"/>
      <c r="Q10" s="11"/>
      <c r="R10" s="11"/>
    </row>
    <row r="11" customFormat="false" ht="19.5" hidden="false" customHeight="true" outlineLevel="0" collapsed="false">
      <c r="A11" s="10"/>
      <c r="B11" s="10"/>
      <c r="C11" s="10"/>
      <c r="D11" s="10"/>
      <c r="E11" s="10"/>
      <c r="F11" s="10"/>
      <c r="G11" s="10"/>
      <c r="H11" s="10"/>
      <c r="I11" s="10"/>
      <c r="J11" s="10"/>
      <c r="K11" s="10"/>
      <c r="L11" s="10"/>
      <c r="M11" s="10"/>
      <c r="N11" s="10"/>
      <c r="O11" s="10"/>
      <c r="P11" s="10"/>
      <c r="Q11" s="10"/>
      <c r="R11" s="10"/>
    </row>
    <row r="12" customFormat="false" ht="19.5" hidden="false" customHeight="true" outlineLevel="0" collapsed="false">
      <c r="A12" s="11"/>
      <c r="B12" s="11"/>
      <c r="C12" s="11"/>
      <c r="D12" s="11"/>
      <c r="E12" s="11"/>
      <c r="F12" s="11"/>
      <c r="G12" s="11"/>
      <c r="H12" s="11"/>
      <c r="I12" s="11"/>
      <c r="J12" s="11"/>
      <c r="K12" s="11"/>
      <c r="L12" s="11"/>
      <c r="M12" s="11"/>
      <c r="N12" s="11"/>
      <c r="O12" s="11"/>
      <c r="P12" s="11"/>
      <c r="Q12" s="11"/>
      <c r="R12" s="11"/>
    </row>
    <row r="13" customFormat="false" ht="19.5" hidden="false" customHeight="true" outlineLevel="0" collapsed="false">
      <c r="A13" s="10"/>
      <c r="B13" s="10"/>
      <c r="C13" s="10"/>
      <c r="D13" s="10"/>
      <c r="E13" s="10"/>
      <c r="F13" s="10"/>
      <c r="G13" s="10"/>
      <c r="H13" s="10"/>
      <c r="I13" s="10"/>
      <c r="J13" s="10"/>
      <c r="K13" s="10"/>
      <c r="L13" s="10"/>
      <c r="M13" s="10"/>
      <c r="N13" s="10"/>
      <c r="O13" s="10"/>
      <c r="P13" s="10"/>
      <c r="Q13" s="10"/>
      <c r="R13" s="10"/>
    </row>
    <row r="14" customFormat="false" ht="19.5" hidden="false" customHeight="true" outlineLevel="0" collapsed="false">
      <c r="A14" s="11"/>
      <c r="B14" s="11"/>
      <c r="C14" s="11"/>
      <c r="D14" s="11"/>
      <c r="E14" s="11"/>
      <c r="F14" s="11"/>
      <c r="G14" s="11"/>
      <c r="H14" s="11"/>
      <c r="I14" s="11"/>
      <c r="J14" s="11"/>
      <c r="K14" s="11"/>
      <c r="L14" s="11"/>
      <c r="M14" s="11"/>
      <c r="N14" s="11"/>
      <c r="O14" s="11"/>
      <c r="P14" s="11"/>
      <c r="Q14" s="11"/>
      <c r="R14" s="11"/>
    </row>
    <row r="15" customFormat="false" ht="19.5" hidden="false" customHeight="true" outlineLevel="0" collapsed="false">
      <c r="A15" s="10"/>
      <c r="B15" s="10"/>
      <c r="C15" s="10"/>
      <c r="D15" s="10"/>
      <c r="E15" s="10"/>
      <c r="F15" s="10"/>
      <c r="G15" s="10"/>
      <c r="H15" s="10"/>
      <c r="I15" s="10"/>
      <c r="J15" s="10"/>
      <c r="K15" s="10"/>
      <c r="L15" s="10"/>
      <c r="M15" s="10"/>
      <c r="N15" s="10"/>
      <c r="O15" s="10"/>
      <c r="P15" s="10"/>
      <c r="Q15" s="10"/>
      <c r="R15" s="10"/>
    </row>
    <row r="16" customFormat="false" ht="19.5" hidden="false" customHeight="true" outlineLevel="0" collapsed="false">
      <c r="A16" s="11"/>
      <c r="B16" s="11"/>
      <c r="C16" s="11"/>
      <c r="D16" s="11"/>
      <c r="E16" s="11"/>
      <c r="F16" s="11"/>
      <c r="G16" s="11"/>
      <c r="H16" s="11"/>
      <c r="I16" s="11"/>
      <c r="J16" s="11"/>
      <c r="K16" s="11"/>
      <c r="L16" s="11"/>
      <c r="M16" s="11"/>
      <c r="N16" s="11"/>
      <c r="O16" s="11"/>
      <c r="P16" s="11"/>
      <c r="Q16" s="11"/>
      <c r="R16" s="11"/>
    </row>
    <row r="17" customFormat="false" ht="19.5" hidden="false" customHeight="true" outlineLevel="0" collapsed="false">
      <c r="A17" s="10"/>
      <c r="B17" s="10"/>
      <c r="C17" s="10"/>
      <c r="D17" s="10"/>
      <c r="E17" s="10"/>
      <c r="F17" s="10"/>
      <c r="G17" s="10"/>
      <c r="H17" s="10"/>
      <c r="I17" s="10"/>
      <c r="J17" s="10"/>
      <c r="K17" s="10"/>
      <c r="L17" s="10"/>
      <c r="M17" s="10"/>
      <c r="N17" s="10"/>
      <c r="O17" s="10"/>
      <c r="P17" s="10"/>
      <c r="Q17" s="10"/>
      <c r="R17" s="10"/>
    </row>
    <row r="18" customFormat="false" ht="19.5" hidden="false" customHeight="true" outlineLevel="0" collapsed="false">
      <c r="A18" s="11"/>
      <c r="B18" s="11"/>
      <c r="C18" s="11"/>
      <c r="D18" s="11"/>
      <c r="E18" s="11"/>
      <c r="F18" s="11"/>
      <c r="G18" s="11"/>
      <c r="H18" s="11"/>
      <c r="I18" s="11"/>
      <c r="J18" s="11"/>
      <c r="K18" s="11"/>
      <c r="L18" s="11"/>
      <c r="M18" s="11"/>
      <c r="N18" s="11"/>
      <c r="O18" s="11"/>
      <c r="P18" s="11"/>
      <c r="Q18" s="11"/>
      <c r="R18" s="11"/>
    </row>
    <row r="19" customFormat="false" ht="19.5" hidden="false" customHeight="true" outlineLevel="0" collapsed="false">
      <c r="A19" s="10"/>
      <c r="B19" s="10"/>
      <c r="C19" s="10"/>
      <c r="D19" s="10"/>
      <c r="E19" s="10"/>
      <c r="F19" s="10"/>
      <c r="G19" s="10"/>
      <c r="H19" s="10"/>
      <c r="I19" s="10"/>
      <c r="J19" s="10"/>
      <c r="K19" s="10"/>
      <c r="L19" s="10"/>
      <c r="M19" s="10"/>
      <c r="N19" s="10"/>
      <c r="O19" s="10"/>
      <c r="P19" s="10"/>
      <c r="Q19" s="10"/>
      <c r="R19" s="10"/>
    </row>
    <row r="20" customFormat="false" ht="19.5" hidden="false" customHeight="true" outlineLevel="0" collapsed="false">
      <c r="A20" s="11"/>
      <c r="B20" s="11"/>
      <c r="C20" s="11"/>
      <c r="D20" s="11"/>
      <c r="E20" s="11"/>
      <c r="F20" s="11"/>
      <c r="G20" s="11"/>
      <c r="H20" s="11"/>
      <c r="I20" s="11"/>
      <c r="J20" s="11"/>
      <c r="K20" s="11"/>
      <c r="L20" s="11"/>
      <c r="M20" s="11"/>
      <c r="N20" s="11"/>
      <c r="O20" s="11"/>
      <c r="P20" s="11"/>
      <c r="Q20" s="11"/>
      <c r="R20" s="11"/>
    </row>
    <row r="21" customFormat="false" ht="19.5" hidden="false" customHeight="true" outlineLevel="0" collapsed="false">
      <c r="A21" s="10"/>
      <c r="B21" s="10"/>
      <c r="C21" s="10"/>
      <c r="D21" s="10"/>
      <c r="E21" s="10"/>
      <c r="F21" s="10"/>
      <c r="G21" s="10"/>
      <c r="H21" s="10"/>
      <c r="I21" s="10"/>
      <c r="J21" s="10"/>
      <c r="K21" s="10"/>
      <c r="L21" s="10"/>
      <c r="M21" s="10"/>
      <c r="N21" s="10"/>
      <c r="O21" s="10"/>
      <c r="P21" s="10"/>
      <c r="Q21" s="10"/>
      <c r="R21" s="10"/>
    </row>
    <row r="22" customFormat="false" ht="19.5" hidden="false" customHeight="true" outlineLevel="0" collapsed="false">
      <c r="A22" s="11"/>
      <c r="B22" s="11"/>
      <c r="C22" s="11"/>
      <c r="D22" s="11"/>
      <c r="E22" s="11"/>
      <c r="F22" s="11"/>
      <c r="G22" s="11"/>
      <c r="H22" s="11"/>
      <c r="I22" s="11"/>
      <c r="J22" s="11"/>
      <c r="K22" s="11"/>
      <c r="L22" s="11"/>
      <c r="M22" s="11"/>
      <c r="N22" s="11"/>
      <c r="O22" s="11"/>
      <c r="P22" s="11"/>
      <c r="Q22" s="11"/>
      <c r="R22" s="11"/>
    </row>
    <row r="23" customFormat="false" ht="19.5" hidden="false" customHeight="true" outlineLevel="0" collapsed="false">
      <c r="A23" s="10"/>
      <c r="B23" s="10"/>
      <c r="C23" s="10"/>
      <c r="D23" s="10"/>
      <c r="E23" s="10"/>
      <c r="F23" s="10"/>
      <c r="G23" s="10"/>
      <c r="H23" s="10"/>
      <c r="I23" s="10"/>
      <c r="J23" s="10"/>
      <c r="K23" s="10"/>
      <c r="L23" s="10"/>
      <c r="M23" s="10"/>
      <c r="N23" s="10"/>
      <c r="O23" s="10"/>
      <c r="P23" s="10"/>
      <c r="Q23" s="10"/>
      <c r="R23" s="10"/>
    </row>
    <row r="24" customFormat="false" ht="19.5" hidden="false" customHeight="true" outlineLevel="0" collapsed="false">
      <c r="A24" s="11"/>
      <c r="B24" s="11"/>
      <c r="C24" s="11"/>
      <c r="D24" s="11"/>
      <c r="E24" s="11"/>
      <c r="F24" s="11"/>
      <c r="G24" s="11"/>
      <c r="H24" s="11"/>
      <c r="I24" s="11"/>
      <c r="J24" s="11"/>
      <c r="K24" s="11"/>
      <c r="L24" s="11"/>
      <c r="M24" s="11"/>
      <c r="N24" s="11"/>
      <c r="O24" s="11"/>
      <c r="P24" s="11"/>
      <c r="Q24" s="11"/>
      <c r="R24" s="11"/>
    </row>
    <row r="25" customFormat="false" ht="19.5" hidden="false" customHeight="true" outlineLevel="0" collapsed="false">
      <c r="A25" s="10"/>
      <c r="B25" s="10"/>
      <c r="C25" s="10"/>
      <c r="D25" s="10"/>
      <c r="E25" s="10"/>
      <c r="F25" s="10"/>
      <c r="G25" s="10"/>
      <c r="H25" s="10"/>
      <c r="I25" s="10"/>
      <c r="J25" s="10"/>
      <c r="K25" s="10"/>
      <c r="L25" s="10"/>
      <c r="M25" s="10"/>
      <c r="N25" s="10"/>
      <c r="O25" s="10"/>
      <c r="P25" s="10"/>
      <c r="Q25" s="10"/>
      <c r="R25" s="10"/>
    </row>
    <row r="26" customFormat="false" ht="19.5" hidden="false" customHeight="true" outlineLevel="0" collapsed="false">
      <c r="A26" s="11"/>
      <c r="B26" s="11"/>
      <c r="C26" s="11"/>
      <c r="D26" s="11"/>
      <c r="E26" s="11"/>
      <c r="F26" s="11"/>
      <c r="G26" s="11"/>
      <c r="H26" s="11"/>
      <c r="I26" s="11"/>
      <c r="J26" s="11"/>
      <c r="K26" s="11"/>
      <c r="L26" s="11"/>
      <c r="M26" s="11"/>
      <c r="N26" s="11"/>
      <c r="O26" s="11"/>
      <c r="P26" s="11"/>
      <c r="Q26" s="11"/>
      <c r="R26" s="11"/>
    </row>
    <row r="27" customFormat="false" ht="19.5" hidden="false" customHeight="true" outlineLevel="0" collapsed="false">
      <c r="A27" s="10"/>
      <c r="B27" s="10"/>
      <c r="C27" s="10"/>
      <c r="D27" s="10"/>
      <c r="E27" s="10"/>
      <c r="F27" s="10"/>
      <c r="G27" s="10"/>
      <c r="H27" s="10"/>
      <c r="I27" s="10"/>
      <c r="J27" s="10"/>
      <c r="K27" s="10"/>
      <c r="L27" s="10"/>
      <c r="M27" s="10"/>
      <c r="N27" s="10"/>
      <c r="O27" s="10"/>
      <c r="P27" s="10"/>
      <c r="Q27" s="10"/>
      <c r="R27" s="10"/>
    </row>
    <row r="28" customFormat="false" ht="19.5" hidden="false" customHeight="true" outlineLevel="0" collapsed="false">
      <c r="A28" s="11"/>
      <c r="B28" s="11"/>
      <c r="C28" s="11"/>
      <c r="D28" s="11"/>
      <c r="E28" s="11"/>
      <c r="F28" s="11"/>
      <c r="G28" s="11"/>
      <c r="H28" s="11"/>
      <c r="I28" s="11"/>
      <c r="J28" s="11"/>
      <c r="K28" s="11"/>
      <c r="L28" s="11"/>
      <c r="M28" s="11"/>
      <c r="N28" s="11"/>
      <c r="O28" s="11"/>
      <c r="P28" s="11"/>
      <c r="Q28" s="11"/>
      <c r="R28" s="11"/>
    </row>
    <row r="29" customFormat="false" ht="19.5" hidden="false" customHeight="true" outlineLevel="0" collapsed="false">
      <c r="A29" s="10"/>
      <c r="B29" s="10"/>
      <c r="C29" s="10"/>
      <c r="D29" s="10"/>
      <c r="E29" s="10"/>
      <c r="F29" s="10"/>
      <c r="G29" s="10"/>
      <c r="H29" s="10"/>
      <c r="I29" s="10"/>
      <c r="J29" s="10"/>
      <c r="K29" s="10"/>
      <c r="L29" s="10"/>
      <c r="M29" s="10"/>
      <c r="N29" s="10"/>
      <c r="O29" s="10"/>
      <c r="P29" s="10"/>
      <c r="Q29" s="10"/>
      <c r="R29" s="10"/>
    </row>
    <row r="30" customFormat="false" ht="19.5" hidden="false" customHeight="true" outlineLevel="0" collapsed="false">
      <c r="A30" s="11"/>
      <c r="B30" s="11"/>
      <c r="C30" s="11"/>
      <c r="D30" s="11"/>
      <c r="E30" s="11"/>
      <c r="F30" s="11"/>
      <c r="G30" s="11"/>
      <c r="H30" s="11"/>
      <c r="I30" s="11"/>
      <c r="J30" s="11"/>
      <c r="K30" s="11"/>
      <c r="L30" s="11"/>
      <c r="M30" s="11"/>
      <c r="N30" s="11"/>
      <c r="O30" s="11"/>
      <c r="P30" s="11"/>
      <c r="Q30" s="11"/>
      <c r="R30" s="11"/>
    </row>
    <row r="31" customFormat="false" ht="19.5" hidden="false" customHeight="true" outlineLevel="0" collapsed="false">
      <c r="A31" s="10"/>
      <c r="B31" s="10"/>
      <c r="C31" s="10"/>
      <c r="D31" s="10"/>
      <c r="E31" s="10"/>
      <c r="F31" s="10"/>
      <c r="G31" s="10"/>
      <c r="H31" s="10"/>
      <c r="I31" s="10"/>
      <c r="J31" s="10"/>
      <c r="K31" s="10"/>
      <c r="L31" s="10"/>
      <c r="M31" s="10"/>
      <c r="N31" s="10"/>
      <c r="O31" s="10"/>
      <c r="P31" s="10"/>
      <c r="Q31" s="10"/>
      <c r="R31" s="10"/>
    </row>
    <row r="32" customFormat="false" ht="19.5" hidden="false" customHeight="true" outlineLevel="0" collapsed="false">
      <c r="A32" s="11"/>
      <c r="B32" s="11"/>
      <c r="C32" s="11"/>
      <c r="D32" s="11"/>
      <c r="E32" s="11"/>
      <c r="F32" s="11"/>
      <c r="G32" s="11"/>
      <c r="H32" s="11"/>
      <c r="I32" s="11"/>
      <c r="J32" s="11"/>
      <c r="K32" s="11"/>
      <c r="L32" s="11"/>
      <c r="M32" s="11"/>
      <c r="N32" s="11"/>
      <c r="O32" s="11"/>
      <c r="P32" s="11"/>
      <c r="Q32" s="11"/>
      <c r="R32" s="11"/>
    </row>
    <row r="33" customFormat="false" ht="19.5" hidden="false" customHeight="true" outlineLevel="0" collapsed="false">
      <c r="A33" s="10"/>
      <c r="B33" s="10"/>
      <c r="C33" s="10"/>
      <c r="D33" s="10"/>
      <c r="E33" s="10"/>
      <c r="F33" s="10"/>
      <c r="G33" s="10"/>
      <c r="H33" s="10"/>
      <c r="I33" s="10"/>
      <c r="J33" s="10"/>
      <c r="K33" s="10"/>
      <c r="L33" s="10"/>
      <c r="M33" s="10"/>
      <c r="N33" s="10"/>
      <c r="O33" s="10"/>
      <c r="P33" s="10"/>
      <c r="Q33" s="10"/>
      <c r="R33" s="10"/>
    </row>
    <row r="34" customFormat="false" ht="19.5" hidden="false" customHeight="true" outlineLevel="0" collapsed="false">
      <c r="A34" s="11"/>
      <c r="B34" s="11"/>
      <c r="C34" s="11"/>
      <c r="D34" s="11"/>
      <c r="E34" s="11"/>
      <c r="F34" s="11"/>
      <c r="G34" s="11"/>
      <c r="H34" s="11"/>
      <c r="I34" s="11"/>
      <c r="J34" s="11"/>
      <c r="K34" s="11"/>
      <c r="L34" s="11"/>
      <c r="M34" s="11"/>
      <c r="N34" s="11"/>
      <c r="O34" s="11"/>
      <c r="P34" s="11"/>
      <c r="Q34" s="11"/>
      <c r="R34" s="11"/>
    </row>
    <row r="35" customFormat="false" ht="19.5" hidden="false" customHeight="true" outlineLevel="0" collapsed="false">
      <c r="A35" s="10"/>
      <c r="B35" s="10"/>
      <c r="C35" s="10"/>
      <c r="D35" s="10"/>
      <c r="E35" s="10"/>
      <c r="F35" s="10"/>
      <c r="G35" s="10"/>
      <c r="H35" s="10"/>
      <c r="I35" s="10"/>
      <c r="J35" s="10"/>
      <c r="K35" s="10"/>
      <c r="L35" s="10"/>
      <c r="M35" s="10"/>
      <c r="N35" s="10"/>
      <c r="O35" s="10"/>
      <c r="P35" s="10"/>
      <c r="Q35" s="10"/>
      <c r="R35" s="10"/>
    </row>
    <row r="36" customFormat="false" ht="19.5" hidden="false" customHeight="true" outlineLevel="0" collapsed="false">
      <c r="A36" s="11"/>
      <c r="B36" s="11"/>
      <c r="C36" s="11"/>
      <c r="D36" s="11"/>
      <c r="E36" s="11"/>
      <c r="F36" s="11"/>
      <c r="G36" s="11"/>
      <c r="H36" s="11"/>
      <c r="I36" s="11"/>
      <c r="J36" s="11"/>
      <c r="K36" s="11"/>
      <c r="L36" s="11"/>
      <c r="M36" s="11"/>
      <c r="N36" s="11"/>
      <c r="O36" s="11"/>
      <c r="P36" s="11"/>
      <c r="Q36" s="11"/>
      <c r="R36" s="11"/>
    </row>
    <row r="37" customFormat="false" ht="19.5" hidden="false" customHeight="true" outlineLevel="0" collapsed="false">
      <c r="A37" s="10"/>
      <c r="B37" s="10"/>
      <c r="C37" s="10"/>
      <c r="D37" s="10"/>
      <c r="E37" s="10"/>
      <c r="F37" s="10"/>
      <c r="G37" s="10"/>
      <c r="H37" s="10"/>
      <c r="I37" s="10"/>
      <c r="J37" s="10"/>
      <c r="K37" s="10"/>
      <c r="L37" s="10"/>
      <c r="M37" s="10"/>
      <c r="N37" s="10"/>
      <c r="O37" s="10"/>
      <c r="P37" s="10"/>
      <c r="Q37" s="10"/>
      <c r="R37" s="10"/>
    </row>
    <row r="38" customFormat="false" ht="19.5" hidden="false" customHeight="true" outlineLevel="0" collapsed="false">
      <c r="A38" s="11"/>
      <c r="B38" s="11"/>
      <c r="C38" s="11"/>
      <c r="D38" s="11"/>
      <c r="E38" s="11"/>
      <c r="F38" s="11"/>
      <c r="G38" s="11"/>
      <c r="H38" s="11"/>
      <c r="I38" s="11"/>
      <c r="J38" s="11"/>
      <c r="K38" s="11"/>
      <c r="L38" s="11"/>
      <c r="M38" s="11"/>
      <c r="N38" s="11"/>
      <c r="O38" s="11"/>
      <c r="P38" s="11"/>
      <c r="Q38" s="11"/>
      <c r="R38" s="11"/>
    </row>
    <row r="39" customFormat="false" ht="19.5" hidden="false" customHeight="true" outlineLevel="0" collapsed="false">
      <c r="A39" s="10"/>
      <c r="B39" s="10"/>
      <c r="C39" s="10"/>
      <c r="D39" s="10"/>
      <c r="E39" s="10"/>
      <c r="F39" s="10"/>
      <c r="G39" s="10"/>
      <c r="H39" s="10"/>
      <c r="I39" s="10"/>
      <c r="J39" s="10"/>
      <c r="K39" s="10"/>
      <c r="L39" s="10"/>
      <c r="M39" s="10"/>
      <c r="N39" s="10"/>
      <c r="O39" s="10"/>
      <c r="P39" s="10"/>
      <c r="Q39" s="10"/>
      <c r="R39" s="10"/>
    </row>
    <row r="40" customFormat="false" ht="19.5" hidden="false" customHeight="true" outlineLevel="0" collapsed="false">
      <c r="A40" s="11"/>
      <c r="B40" s="11"/>
      <c r="C40" s="11"/>
      <c r="D40" s="11"/>
      <c r="E40" s="11"/>
      <c r="F40" s="11"/>
      <c r="G40" s="11"/>
      <c r="H40" s="11"/>
      <c r="I40" s="11"/>
      <c r="J40" s="11"/>
      <c r="K40" s="11"/>
      <c r="L40" s="11"/>
      <c r="M40" s="11"/>
      <c r="N40" s="11"/>
      <c r="O40" s="11"/>
      <c r="P40" s="11"/>
      <c r="Q40" s="11"/>
      <c r="R40" s="11"/>
    </row>
    <row r="41" customFormat="false" ht="19.5" hidden="false" customHeight="true" outlineLevel="0" collapsed="false">
      <c r="A41" s="10"/>
      <c r="B41" s="10"/>
      <c r="C41" s="10"/>
      <c r="D41" s="10"/>
      <c r="E41" s="10"/>
      <c r="F41" s="10"/>
      <c r="G41" s="10"/>
      <c r="H41" s="10"/>
      <c r="I41" s="10"/>
      <c r="J41" s="10"/>
      <c r="K41" s="10"/>
      <c r="L41" s="10"/>
      <c r="M41" s="10"/>
      <c r="N41" s="10"/>
      <c r="O41" s="10"/>
      <c r="P41" s="10"/>
      <c r="Q41" s="10"/>
      <c r="R41" s="10"/>
    </row>
    <row r="42" customFormat="false" ht="19.5" hidden="false" customHeight="true" outlineLevel="0" collapsed="false">
      <c r="A42" s="11"/>
      <c r="B42" s="11"/>
      <c r="C42" s="11"/>
      <c r="D42" s="11"/>
      <c r="E42" s="11"/>
      <c r="F42" s="11"/>
      <c r="G42" s="11"/>
      <c r="H42" s="11"/>
      <c r="I42" s="11"/>
      <c r="J42" s="11"/>
      <c r="K42" s="11"/>
      <c r="L42" s="11"/>
      <c r="M42" s="11"/>
      <c r="N42" s="11"/>
      <c r="O42" s="11"/>
      <c r="P42" s="11"/>
      <c r="Q42" s="11"/>
      <c r="R42" s="11"/>
    </row>
    <row r="43" customFormat="false" ht="19.5" hidden="false" customHeight="true" outlineLevel="0" collapsed="false">
      <c r="A43" s="10"/>
      <c r="B43" s="10"/>
      <c r="C43" s="10"/>
      <c r="D43" s="10"/>
      <c r="E43" s="10"/>
      <c r="F43" s="10"/>
      <c r="G43" s="10"/>
      <c r="H43" s="10"/>
      <c r="I43" s="10"/>
      <c r="J43" s="10"/>
      <c r="K43" s="10"/>
      <c r="L43" s="10"/>
      <c r="M43" s="10"/>
      <c r="N43" s="10"/>
      <c r="O43" s="10"/>
      <c r="P43" s="10"/>
      <c r="Q43" s="10"/>
      <c r="R43" s="10"/>
    </row>
    <row r="44" customFormat="false" ht="19.5" hidden="false" customHeight="true" outlineLevel="0" collapsed="false">
      <c r="A44" s="11"/>
      <c r="B44" s="11"/>
      <c r="C44" s="11"/>
      <c r="D44" s="11"/>
      <c r="E44" s="11"/>
      <c r="F44" s="11"/>
      <c r="G44" s="11"/>
      <c r="H44" s="11"/>
      <c r="I44" s="11"/>
      <c r="J44" s="11"/>
      <c r="K44" s="11"/>
      <c r="L44" s="11"/>
      <c r="M44" s="11"/>
      <c r="N44" s="11"/>
      <c r="O44" s="11"/>
      <c r="P44" s="11"/>
      <c r="Q44" s="11"/>
      <c r="R44" s="11"/>
    </row>
    <row r="45" customFormat="false" ht="19.5" hidden="false" customHeight="true" outlineLevel="0" collapsed="false">
      <c r="A45" s="10"/>
      <c r="B45" s="10"/>
      <c r="C45" s="10"/>
      <c r="D45" s="10"/>
      <c r="E45" s="10"/>
      <c r="F45" s="10"/>
      <c r="G45" s="10"/>
      <c r="H45" s="10"/>
      <c r="I45" s="10"/>
      <c r="J45" s="10"/>
      <c r="K45" s="10"/>
      <c r="L45" s="10"/>
      <c r="M45" s="10"/>
      <c r="N45" s="10"/>
      <c r="O45" s="10"/>
      <c r="P45" s="10"/>
      <c r="Q45" s="10"/>
      <c r="R45" s="10"/>
    </row>
    <row r="46" customFormat="false" ht="19.5" hidden="false" customHeight="true" outlineLevel="0" collapsed="false">
      <c r="A46" s="11"/>
      <c r="B46" s="11"/>
      <c r="C46" s="11"/>
      <c r="D46" s="11"/>
      <c r="E46" s="11"/>
      <c r="F46" s="11"/>
      <c r="G46" s="11"/>
      <c r="H46" s="11"/>
      <c r="I46" s="11"/>
      <c r="J46" s="11"/>
      <c r="K46" s="11"/>
      <c r="L46" s="11"/>
      <c r="M46" s="11"/>
      <c r="N46" s="11"/>
      <c r="O46" s="11"/>
      <c r="P46" s="11"/>
      <c r="Q46" s="11"/>
      <c r="R46" s="11"/>
    </row>
    <row r="47" customFormat="false" ht="19.5" hidden="false" customHeight="true" outlineLevel="0" collapsed="false">
      <c r="A47" s="10"/>
      <c r="B47" s="10"/>
      <c r="C47" s="10"/>
      <c r="D47" s="10"/>
      <c r="E47" s="10"/>
      <c r="F47" s="10"/>
      <c r="G47" s="10"/>
      <c r="H47" s="10"/>
      <c r="I47" s="10"/>
      <c r="J47" s="10"/>
      <c r="K47" s="10"/>
      <c r="L47" s="10"/>
      <c r="M47" s="10"/>
      <c r="N47" s="10"/>
      <c r="O47" s="10"/>
      <c r="P47" s="10"/>
      <c r="Q47" s="10"/>
      <c r="R47" s="10"/>
    </row>
    <row r="48" customFormat="false" ht="19.5" hidden="false" customHeight="true" outlineLevel="0" collapsed="false">
      <c r="A48" s="11"/>
      <c r="B48" s="11"/>
      <c r="C48" s="11"/>
      <c r="D48" s="11"/>
      <c r="E48" s="11"/>
      <c r="F48" s="11"/>
      <c r="G48" s="11"/>
      <c r="H48" s="11"/>
      <c r="I48" s="11"/>
      <c r="J48" s="11"/>
      <c r="K48" s="11"/>
      <c r="L48" s="11"/>
      <c r="M48" s="11"/>
      <c r="N48" s="11"/>
      <c r="O48" s="11"/>
      <c r="P48" s="11"/>
      <c r="Q48" s="11"/>
      <c r="R48" s="11"/>
    </row>
    <row r="49" customFormat="false" ht="19.5" hidden="false" customHeight="true" outlineLevel="0" collapsed="false">
      <c r="A49" s="10"/>
      <c r="B49" s="10"/>
      <c r="C49" s="10"/>
      <c r="D49" s="10"/>
      <c r="E49" s="10"/>
      <c r="F49" s="10"/>
      <c r="G49" s="10"/>
      <c r="H49" s="10"/>
      <c r="I49" s="10"/>
      <c r="J49" s="10"/>
      <c r="K49" s="10"/>
      <c r="L49" s="10"/>
      <c r="M49" s="10"/>
      <c r="N49" s="10"/>
      <c r="O49" s="10"/>
      <c r="P49" s="10"/>
      <c r="Q49" s="10"/>
      <c r="R49" s="10"/>
    </row>
    <row r="50" customFormat="false" ht="19.5" hidden="false" customHeight="true" outlineLevel="0" collapsed="false">
      <c r="A50" s="11"/>
      <c r="B50" s="11"/>
      <c r="C50" s="11"/>
      <c r="D50" s="11"/>
      <c r="E50" s="11"/>
      <c r="F50" s="11"/>
      <c r="G50" s="11"/>
      <c r="H50" s="11"/>
      <c r="I50" s="11"/>
      <c r="J50" s="11"/>
      <c r="K50" s="11"/>
      <c r="L50" s="11"/>
      <c r="M50" s="11"/>
      <c r="N50" s="11"/>
      <c r="O50" s="11"/>
      <c r="P50" s="11"/>
      <c r="Q50" s="11"/>
      <c r="R50" s="11"/>
    </row>
    <row r="51" customFormat="false" ht="19.5" hidden="false" customHeight="true" outlineLevel="0" collapsed="false">
      <c r="A51" s="10"/>
      <c r="B51" s="10"/>
      <c r="C51" s="10"/>
      <c r="D51" s="10"/>
      <c r="E51" s="10"/>
      <c r="F51" s="10"/>
      <c r="G51" s="10"/>
      <c r="H51" s="10"/>
      <c r="I51" s="10"/>
      <c r="J51" s="10"/>
      <c r="K51" s="10"/>
      <c r="L51" s="10"/>
      <c r="M51" s="10"/>
      <c r="N51" s="10"/>
      <c r="O51" s="10"/>
      <c r="P51" s="10"/>
      <c r="Q51" s="10"/>
      <c r="R51" s="10"/>
    </row>
    <row r="52" customFormat="false" ht="19.5" hidden="false" customHeight="true" outlineLevel="0" collapsed="false">
      <c r="A52" s="11"/>
      <c r="B52" s="11"/>
      <c r="C52" s="11"/>
      <c r="D52" s="11"/>
      <c r="E52" s="11"/>
      <c r="F52" s="11"/>
      <c r="G52" s="11"/>
      <c r="H52" s="11"/>
      <c r="I52" s="11"/>
      <c r="J52" s="11"/>
      <c r="K52" s="11"/>
      <c r="L52" s="11"/>
      <c r="M52" s="11"/>
      <c r="N52" s="11"/>
      <c r="O52" s="11"/>
      <c r="P52" s="11"/>
      <c r="Q52" s="11"/>
      <c r="R52" s="11"/>
    </row>
    <row r="53" customFormat="false" ht="19.5" hidden="false" customHeight="true" outlineLevel="0" collapsed="false">
      <c r="A53" s="10"/>
      <c r="B53" s="10"/>
      <c r="C53" s="10"/>
      <c r="D53" s="10"/>
      <c r="E53" s="10"/>
      <c r="F53" s="10"/>
      <c r="G53" s="10"/>
      <c r="H53" s="10"/>
      <c r="I53" s="10"/>
      <c r="J53" s="10"/>
      <c r="K53" s="10"/>
      <c r="L53" s="10"/>
      <c r="M53" s="10"/>
      <c r="N53" s="10"/>
      <c r="O53" s="10"/>
      <c r="P53" s="10"/>
      <c r="Q53" s="10"/>
      <c r="R53" s="10"/>
    </row>
    <row r="54" customFormat="false" ht="19.5" hidden="false" customHeight="true" outlineLevel="0" collapsed="false">
      <c r="A54" s="11"/>
      <c r="B54" s="11"/>
      <c r="C54" s="11"/>
      <c r="D54" s="11"/>
      <c r="E54" s="11"/>
      <c r="F54" s="11"/>
      <c r="G54" s="11"/>
      <c r="H54" s="11"/>
      <c r="I54" s="11"/>
      <c r="J54" s="11"/>
      <c r="K54" s="11"/>
      <c r="L54" s="11"/>
      <c r="M54" s="11"/>
      <c r="N54" s="11"/>
      <c r="O54" s="11"/>
      <c r="P54" s="11"/>
      <c r="Q54" s="11"/>
      <c r="R54" s="11"/>
    </row>
    <row r="55" customFormat="false" ht="19.5" hidden="false" customHeight="true" outlineLevel="0" collapsed="false">
      <c r="A55" s="10"/>
      <c r="B55" s="10"/>
      <c r="C55" s="10"/>
      <c r="D55" s="10"/>
      <c r="E55" s="10"/>
      <c r="F55" s="10"/>
      <c r="G55" s="10"/>
      <c r="H55" s="10"/>
      <c r="I55" s="10"/>
      <c r="J55" s="10"/>
      <c r="K55" s="10"/>
      <c r="L55" s="10"/>
      <c r="M55" s="10"/>
      <c r="N55" s="10"/>
      <c r="O55" s="10"/>
      <c r="P55" s="10"/>
      <c r="Q55" s="10"/>
      <c r="R55" s="10"/>
    </row>
    <row r="56" customFormat="false" ht="19.5" hidden="false" customHeight="true" outlineLevel="0" collapsed="false">
      <c r="A56" s="11"/>
      <c r="B56" s="11"/>
      <c r="C56" s="11"/>
      <c r="D56" s="11"/>
      <c r="E56" s="11"/>
      <c r="F56" s="11"/>
      <c r="G56" s="11"/>
      <c r="H56" s="11"/>
      <c r="I56" s="11"/>
      <c r="J56" s="11"/>
      <c r="K56" s="11"/>
      <c r="L56" s="11"/>
      <c r="M56" s="11"/>
      <c r="N56" s="11"/>
      <c r="O56" s="11"/>
      <c r="P56" s="11"/>
      <c r="Q56" s="11"/>
      <c r="R56" s="11"/>
    </row>
    <row r="57" customFormat="false" ht="19.5" hidden="false" customHeight="true" outlineLevel="0" collapsed="false">
      <c r="A57" s="10"/>
      <c r="B57" s="10"/>
      <c r="C57" s="10"/>
      <c r="D57" s="10"/>
      <c r="E57" s="10"/>
      <c r="F57" s="10"/>
      <c r="G57" s="10"/>
      <c r="H57" s="10"/>
      <c r="I57" s="10"/>
      <c r="J57" s="10"/>
      <c r="K57" s="10"/>
      <c r="L57" s="10"/>
      <c r="M57" s="10"/>
      <c r="N57" s="10"/>
      <c r="O57" s="10"/>
      <c r="P57" s="10"/>
      <c r="Q57" s="10"/>
      <c r="R57" s="10"/>
    </row>
    <row r="58" customFormat="false" ht="19.5" hidden="false" customHeight="true" outlineLevel="0" collapsed="false">
      <c r="A58" s="11"/>
      <c r="B58" s="11"/>
      <c r="C58" s="11"/>
      <c r="D58" s="11"/>
      <c r="E58" s="11"/>
      <c r="F58" s="11"/>
      <c r="G58" s="11"/>
      <c r="H58" s="11"/>
      <c r="I58" s="11"/>
      <c r="J58" s="11"/>
      <c r="K58" s="11"/>
      <c r="L58" s="11"/>
      <c r="M58" s="11"/>
      <c r="N58" s="11"/>
      <c r="O58" s="11"/>
      <c r="P58" s="11"/>
      <c r="Q58" s="11"/>
      <c r="R58" s="11"/>
    </row>
    <row r="59" customFormat="false" ht="19.5" hidden="false" customHeight="true" outlineLevel="0" collapsed="false">
      <c r="A59" s="10"/>
      <c r="B59" s="10"/>
      <c r="C59" s="10"/>
      <c r="D59" s="10"/>
      <c r="E59" s="10"/>
      <c r="F59" s="10"/>
      <c r="G59" s="10"/>
      <c r="H59" s="10"/>
      <c r="I59" s="10"/>
      <c r="J59" s="10"/>
      <c r="K59" s="10"/>
      <c r="L59" s="10"/>
      <c r="M59" s="10"/>
      <c r="N59" s="10"/>
      <c r="O59" s="10"/>
      <c r="P59" s="10"/>
      <c r="Q59" s="10"/>
      <c r="R59" s="10"/>
    </row>
    <row r="60" customFormat="false" ht="19.5" hidden="false" customHeight="true" outlineLevel="0" collapsed="false">
      <c r="A60" s="11"/>
      <c r="B60" s="11"/>
      <c r="C60" s="11"/>
      <c r="D60" s="11"/>
      <c r="E60" s="11"/>
      <c r="F60" s="11"/>
      <c r="G60" s="11"/>
      <c r="H60" s="11"/>
      <c r="I60" s="11"/>
      <c r="J60" s="11"/>
      <c r="K60" s="11"/>
      <c r="L60" s="11"/>
      <c r="M60" s="11"/>
      <c r="N60" s="11"/>
      <c r="O60" s="11"/>
      <c r="P60" s="11"/>
      <c r="Q60" s="11"/>
      <c r="R60" s="11"/>
    </row>
  </sheetData>
  <conditionalFormatting sqref="O3:O60">
    <cfRule type="cellIs" priority="2" operator="equal" aboveAverage="0" equalAverage="0" bottom="0" percent="0" rank="0" text="" dxfId="0">
      <formula>"Green"</formula>
    </cfRule>
    <cfRule type="cellIs" priority="3" operator="equal" aboveAverage="0" equalAverage="0" bottom="0" percent="0" rank="0" text="" dxfId="1">
      <formula>"Amber"</formula>
    </cfRule>
    <cfRule type="cellIs" priority="4" operator="equal" aboveAverage="0" equalAverage="0" bottom="0" percent="0" rank="0" text="" dxfId="2">
      <formula>"Red"</formula>
    </cfRule>
  </conditionalFormatting>
  <conditionalFormatting sqref="N3:N60">
    <cfRule type="cellIs" priority="5" operator="equal" aboveAverage="0" equalAverage="0" bottom="0" percent="0" rank="0" text="" dxfId="0">
      <formula>"Known &amp; Managed"</formula>
    </cfRule>
    <cfRule type="cellIs" priority="6" operator="equal" aboveAverage="0" equalAverage="0" bottom="0" percent="0" rank="0" text="" dxfId="1">
      <formula>"Known but Gaps"</formula>
    </cfRule>
    <cfRule type="cellIs" priority="7" operator="equal" aboveAverage="0" equalAverage="0" bottom="0" percent="0" rank="0" text="" dxfId="2">
      <formula>"Shadow IT / Unknown"</formula>
    </cfRule>
  </conditionalFormatting>
  <dataValidations count="7">
    <dataValidation allowBlank="true" errorStyle="stop" operator="between" showDropDown="false" showErrorMessage="false" showInputMessage="false" sqref="A3:A60" type="list">
      <formula1>"Web / Domains,Cloud Infra,DNS / Subdomains,Certificates,APIs,Network / IP ranges,Third-party / SaaS,Email / Messaging,Other"</formula1>
      <formula2>0</formula2>
    </dataValidation>
    <dataValidation allowBlank="true" errorStyle="stop" operator="between" showDropDown="false" showErrorMessage="false" showInputMessage="false" sqref="J3:J60" type="list">
      <formula1>"Yes,No,Partial,Unknown"</formula1>
      <formula2>0</formula2>
    </dataValidation>
    <dataValidation allowBlank="true" errorStyle="stop" operator="between" showDropDown="false" showErrorMessage="false" showInputMessage="false" sqref="K3:K60" type="list">
      <formula1>"Yes,No,Partial,Unknown"</formula1>
      <formula2>0</formula2>
    </dataValidation>
    <dataValidation allowBlank="true" errorStyle="stop" operator="between" showDropDown="false" showErrorMessage="false" showInputMessage="false" sqref="L3:L60" type="list">
      <formula1>"Yes,No,Partial,Unknown"</formula1>
      <formula2>0</formula2>
    </dataValidation>
    <dataValidation allowBlank="true" errorStyle="stop" operator="between" showDropDown="false" showErrorMessage="false" showInputMessage="false" sqref="M3:M60" type="list">
      <formula1>"Yes,No,Partial,Unknown"</formula1>
      <formula2>0</formula2>
    </dataValidation>
    <dataValidation allowBlank="true" errorStyle="stop" operator="between" showDropDown="false" showErrorMessage="false" showInputMessage="false" sqref="N3:N60" type="list">
      <formula1>"Known &amp; Managed,Known but Gaps,Shadow IT / Unknown"</formula1>
      <formula2>0</formula2>
    </dataValidation>
    <dataValidation allowBlank="true" errorStyle="stop" operator="between" showDropDown="false" showErrorMessage="false" showInputMessage="false" sqref="O3:O60" type="list">
      <formula1>"Green,Amber,Red"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6"/>
    <col collapsed="false" customWidth="true" hidden="false" outlineLevel="0" max="9" min="8" style="0" width="34"/>
  </cols>
  <sheetData>
    <row r="1" customFormat="false" ht="19.7" hidden="false" customHeight="false" outlineLevel="0" collapsed="false">
      <c r="A1" s="12" t="s">
        <v>58</v>
      </c>
      <c r="B1" s="12"/>
      <c r="C1" s="12"/>
      <c r="D1" s="12"/>
      <c r="E1" s="12"/>
      <c r="F1" s="12"/>
      <c r="G1" s="12"/>
      <c r="H1" s="12"/>
      <c r="I1" s="12"/>
    </row>
    <row r="2" customFormat="false" ht="15" hidden="false" customHeight="true" outlineLevel="0" collapsed="false">
      <c r="A2" s="13" t="s">
        <v>59</v>
      </c>
      <c r="B2" s="13"/>
      <c r="C2" s="13"/>
      <c r="D2" s="13"/>
      <c r="E2" s="13"/>
      <c r="F2" s="13"/>
      <c r="G2" s="13"/>
      <c r="H2" s="13"/>
      <c r="I2" s="13"/>
    </row>
    <row r="4" customFormat="false" ht="31.5" hidden="false" customHeight="true" outlineLevel="0" collapsed="false">
      <c r="A4" s="14" t="s">
        <v>25</v>
      </c>
      <c r="B4" s="14" t="s">
        <v>60</v>
      </c>
      <c r="C4" s="14" t="s">
        <v>61</v>
      </c>
      <c r="D4" s="14" t="s">
        <v>62</v>
      </c>
      <c r="E4" s="14" t="s">
        <v>63</v>
      </c>
      <c r="F4" s="14" t="s">
        <v>64</v>
      </c>
      <c r="G4" s="14" t="s">
        <v>65</v>
      </c>
      <c r="H4" s="14" t="s">
        <v>66</v>
      </c>
      <c r="I4" s="14" t="s">
        <v>67</v>
      </c>
    </row>
    <row r="5" customFormat="false" ht="30" hidden="false" customHeight="true" outlineLevel="0" collapsed="false">
      <c r="A5" s="15" t="s">
        <v>43</v>
      </c>
      <c r="B5" s="16" t="n">
        <f aca="false">COUNTIFS('Asset Register &amp; Governance'!$A$3:$A$60,A5)</f>
        <v>0</v>
      </c>
      <c r="C5" s="16" t="n">
        <f aca="false">COUNTIFS('Asset Register &amp; Governance'!$A$3:$A$60,A5,'Asset Register &amp; Governance'!$O$3:$O$60,"Green")</f>
        <v>0</v>
      </c>
      <c r="D5" s="16" t="n">
        <f aca="false">COUNTIFS('Asset Register &amp; Governance'!$A$3:$A$60,A5,'Asset Register &amp; Governance'!$O$3:$O$60,"Amber")</f>
        <v>0</v>
      </c>
      <c r="E5" s="16" t="n">
        <f aca="false">COUNTIFS('Asset Register &amp; Governance'!$A$3:$A$60,A5,'Asset Register &amp; Governance'!$O$3:$O$60,"Red")</f>
        <v>0</v>
      </c>
      <c r="F5" s="17" t="str">
        <f aca="false">IF(B5=0,"",IF(E5&gt;0,"Red",IF(D5&gt;0,"Amber","Green")))</f>
        <v/>
      </c>
      <c r="G5" s="18" t="n">
        <f aca="false">IFERROR(COUNTIFS('Asset Register &amp; Governance'!$A$3:$A$60,A5,'Asset Register &amp; Governance'!$J$3:$J$60,"No")/B5,0)</f>
        <v>0</v>
      </c>
      <c r="H5" s="10"/>
      <c r="I5" s="10"/>
    </row>
    <row r="6" customFormat="false" ht="30" hidden="false" customHeight="true" outlineLevel="0" collapsed="false">
      <c r="A6" s="15" t="s">
        <v>68</v>
      </c>
      <c r="B6" s="16" t="n">
        <f aca="false">COUNTIFS('Asset Register &amp; Governance'!$A$3:$A$60,A6)</f>
        <v>0</v>
      </c>
      <c r="C6" s="16" t="n">
        <f aca="false">COUNTIFS('Asset Register &amp; Governance'!$A$3:$A$60,A6,'Asset Register &amp; Governance'!$O$3:$O$60,"Green")</f>
        <v>0</v>
      </c>
      <c r="D6" s="16" t="n">
        <f aca="false">COUNTIFS('Asset Register &amp; Governance'!$A$3:$A$60,A6,'Asset Register &amp; Governance'!$O$3:$O$60,"Amber")</f>
        <v>0</v>
      </c>
      <c r="E6" s="16" t="n">
        <f aca="false">COUNTIFS('Asset Register &amp; Governance'!$A$3:$A$60,A6,'Asset Register &amp; Governance'!$O$3:$O$60,"Red")</f>
        <v>0</v>
      </c>
      <c r="F6" s="17" t="str">
        <f aca="false">IF(B6=0,"",IF(E6&gt;0,"Red",IF(D6&gt;0,"Amber","Green")))</f>
        <v/>
      </c>
      <c r="G6" s="18" t="n">
        <f aca="false">IFERROR(COUNTIFS('Asset Register &amp; Governance'!$A$3:$A$60,A6,'Asset Register &amp; Governance'!$J$3:$J$60,"No")/B6,0)</f>
        <v>0</v>
      </c>
      <c r="H6" s="10"/>
      <c r="I6" s="10"/>
    </row>
    <row r="7" customFormat="false" ht="30" hidden="false" customHeight="true" outlineLevel="0" collapsed="false">
      <c r="A7" s="15" t="s">
        <v>69</v>
      </c>
      <c r="B7" s="16" t="n">
        <f aca="false">COUNTIFS('Asset Register &amp; Governance'!$A$3:$A$60,A7)</f>
        <v>0</v>
      </c>
      <c r="C7" s="16" t="n">
        <f aca="false">COUNTIFS('Asset Register &amp; Governance'!$A$3:$A$60,A7,'Asset Register &amp; Governance'!$O$3:$O$60,"Green")</f>
        <v>0</v>
      </c>
      <c r="D7" s="16" t="n">
        <f aca="false">COUNTIFS('Asset Register &amp; Governance'!$A$3:$A$60,A7,'Asset Register &amp; Governance'!$O$3:$O$60,"Amber")</f>
        <v>0</v>
      </c>
      <c r="E7" s="16" t="n">
        <f aca="false">COUNTIFS('Asset Register &amp; Governance'!$A$3:$A$60,A7,'Asset Register &amp; Governance'!$O$3:$O$60,"Red")</f>
        <v>0</v>
      </c>
      <c r="F7" s="17" t="str">
        <f aca="false">IF(B7=0,"",IF(E7&gt;0,"Red",IF(D7&gt;0,"Amber","Green")))</f>
        <v/>
      </c>
      <c r="G7" s="18" t="n">
        <f aca="false">IFERROR(COUNTIFS('Asset Register &amp; Governance'!$A$3:$A$60,A7,'Asset Register &amp; Governance'!$J$3:$J$60,"No")/B7,0)</f>
        <v>0</v>
      </c>
      <c r="H7" s="10"/>
      <c r="I7" s="10"/>
    </row>
    <row r="8" customFormat="false" ht="30" hidden="false" customHeight="true" outlineLevel="0" collapsed="false">
      <c r="A8" s="15" t="s">
        <v>70</v>
      </c>
      <c r="B8" s="16" t="n">
        <f aca="false">COUNTIFS('Asset Register &amp; Governance'!$A$3:$A$60,A8)</f>
        <v>0</v>
      </c>
      <c r="C8" s="16" t="n">
        <f aca="false">COUNTIFS('Asset Register &amp; Governance'!$A$3:$A$60,A8,'Asset Register &amp; Governance'!$O$3:$O$60,"Green")</f>
        <v>0</v>
      </c>
      <c r="D8" s="16" t="n">
        <f aca="false">COUNTIFS('Asset Register &amp; Governance'!$A$3:$A$60,A8,'Asset Register &amp; Governance'!$O$3:$O$60,"Amber")</f>
        <v>0</v>
      </c>
      <c r="E8" s="16" t="n">
        <f aca="false">COUNTIFS('Asset Register &amp; Governance'!$A$3:$A$60,A8,'Asset Register &amp; Governance'!$O$3:$O$60,"Red")</f>
        <v>0</v>
      </c>
      <c r="F8" s="17" t="str">
        <f aca="false">IF(B8=0,"",IF(E8&gt;0,"Red",IF(D8&gt;0,"Amber","Green")))</f>
        <v/>
      </c>
      <c r="G8" s="18" t="n">
        <f aca="false">IFERROR(COUNTIFS('Asset Register &amp; Governance'!$A$3:$A$60,A8,'Asset Register &amp; Governance'!$J$3:$J$60,"No")/B8,0)</f>
        <v>0</v>
      </c>
      <c r="H8" s="10"/>
      <c r="I8" s="10"/>
    </row>
    <row r="9" customFormat="false" ht="30" hidden="false" customHeight="true" outlineLevel="0" collapsed="false">
      <c r="A9" s="15" t="s">
        <v>71</v>
      </c>
      <c r="B9" s="16" t="n">
        <f aca="false">COUNTIFS('Asset Register &amp; Governance'!$A$3:$A$60,A9)</f>
        <v>0</v>
      </c>
      <c r="C9" s="16" t="n">
        <f aca="false">COUNTIFS('Asset Register &amp; Governance'!$A$3:$A$60,A9,'Asset Register &amp; Governance'!$O$3:$O$60,"Green")</f>
        <v>0</v>
      </c>
      <c r="D9" s="16" t="n">
        <f aca="false">COUNTIFS('Asset Register &amp; Governance'!$A$3:$A$60,A9,'Asset Register &amp; Governance'!$O$3:$O$60,"Amber")</f>
        <v>0</v>
      </c>
      <c r="E9" s="16" t="n">
        <f aca="false">COUNTIFS('Asset Register &amp; Governance'!$A$3:$A$60,A9,'Asset Register &amp; Governance'!$O$3:$O$60,"Red")</f>
        <v>0</v>
      </c>
      <c r="F9" s="17" t="str">
        <f aca="false">IF(B9=0,"",IF(E9&gt;0,"Red",IF(D9&gt;0,"Amber","Green")))</f>
        <v/>
      </c>
      <c r="G9" s="18" t="n">
        <f aca="false">IFERROR(COUNTIFS('Asset Register &amp; Governance'!$A$3:$A$60,A9,'Asset Register &amp; Governance'!$J$3:$J$60,"No")/B9,0)</f>
        <v>0</v>
      </c>
      <c r="H9" s="10"/>
      <c r="I9" s="10"/>
    </row>
    <row r="10" customFormat="false" ht="30" hidden="false" customHeight="true" outlineLevel="0" collapsed="false">
      <c r="A10" s="15" t="s">
        <v>72</v>
      </c>
      <c r="B10" s="16" t="n">
        <f aca="false">COUNTIFS('Asset Register &amp; Governance'!$A$3:$A$60,A10)</f>
        <v>0</v>
      </c>
      <c r="C10" s="16" t="n">
        <f aca="false">COUNTIFS('Asset Register &amp; Governance'!$A$3:$A$60,A10,'Asset Register &amp; Governance'!$O$3:$O$60,"Green")</f>
        <v>0</v>
      </c>
      <c r="D10" s="16" t="n">
        <f aca="false">COUNTIFS('Asset Register &amp; Governance'!$A$3:$A$60,A10,'Asset Register &amp; Governance'!$O$3:$O$60,"Amber")</f>
        <v>0</v>
      </c>
      <c r="E10" s="16" t="n">
        <f aca="false">COUNTIFS('Asset Register &amp; Governance'!$A$3:$A$60,A10,'Asset Register &amp; Governance'!$O$3:$O$60,"Red")</f>
        <v>0</v>
      </c>
      <c r="F10" s="17" t="str">
        <f aca="false">IF(B10=0,"",IF(E10&gt;0,"Red",IF(D10&gt;0,"Amber","Green")))</f>
        <v/>
      </c>
      <c r="G10" s="18" t="n">
        <f aca="false">IFERROR(COUNTIFS('Asset Register &amp; Governance'!$A$3:$A$60,A10,'Asset Register &amp; Governance'!$J$3:$J$60,"No")/B10,0)</f>
        <v>0</v>
      </c>
      <c r="H10" s="10"/>
      <c r="I10" s="10"/>
    </row>
    <row r="11" customFormat="false" ht="30" hidden="false" customHeight="true" outlineLevel="0" collapsed="false">
      <c r="A11" s="15" t="s">
        <v>73</v>
      </c>
      <c r="B11" s="16" t="n">
        <f aca="false">COUNTIFS('Asset Register &amp; Governance'!$A$3:$A$60,A11)</f>
        <v>0</v>
      </c>
      <c r="C11" s="16" t="n">
        <f aca="false">COUNTIFS('Asset Register &amp; Governance'!$A$3:$A$60,A11,'Asset Register &amp; Governance'!$O$3:$O$60,"Green")</f>
        <v>0</v>
      </c>
      <c r="D11" s="16" t="n">
        <f aca="false">COUNTIFS('Asset Register &amp; Governance'!$A$3:$A$60,A11,'Asset Register &amp; Governance'!$O$3:$O$60,"Amber")</f>
        <v>0</v>
      </c>
      <c r="E11" s="16" t="n">
        <f aca="false">COUNTIFS('Asset Register &amp; Governance'!$A$3:$A$60,A11,'Asset Register &amp; Governance'!$O$3:$O$60,"Red")</f>
        <v>0</v>
      </c>
      <c r="F11" s="17" t="str">
        <f aca="false">IF(B11=0,"",IF(E11&gt;0,"Red",IF(D11&gt;0,"Amber","Green")))</f>
        <v/>
      </c>
      <c r="G11" s="18" t="n">
        <f aca="false">IFERROR(COUNTIFS('Asset Register &amp; Governance'!$A$3:$A$60,A11,'Asset Register &amp; Governance'!$J$3:$J$60,"No")/B11,0)</f>
        <v>0</v>
      </c>
      <c r="H11" s="10"/>
      <c r="I11" s="10"/>
    </row>
    <row r="12" customFormat="false" ht="30" hidden="false" customHeight="true" outlineLevel="0" collapsed="false">
      <c r="A12" s="15" t="s">
        <v>74</v>
      </c>
      <c r="B12" s="16" t="n">
        <f aca="false">COUNTIFS('Asset Register &amp; Governance'!$A$3:$A$60,A12)</f>
        <v>0</v>
      </c>
      <c r="C12" s="16" t="n">
        <f aca="false">COUNTIFS('Asset Register &amp; Governance'!$A$3:$A$60,A12,'Asset Register &amp; Governance'!$O$3:$O$60,"Green")</f>
        <v>0</v>
      </c>
      <c r="D12" s="16" t="n">
        <f aca="false">COUNTIFS('Asset Register &amp; Governance'!$A$3:$A$60,A12,'Asset Register &amp; Governance'!$O$3:$O$60,"Amber")</f>
        <v>0</v>
      </c>
      <c r="E12" s="16" t="n">
        <f aca="false">COUNTIFS('Asset Register &amp; Governance'!$A$3:$A$60,A12,'Asset Register &amp; Governance'!$O$3:$O$60,"Red")</f>
        <v>0</v>
      </c>
      <c r="F12" s="17" t="str">
        <f aca="false">IF(B12=0,"",IF(E12&gt;0,"Red",IF(D12&gt;0,"Amber","Green")))</f>
        <v/>
      </c>
      <c r="G12" s="18" t="n">
        <f aca="false">IFERROR(COUNTIFS('Asset Register &amp; Governance'!$A$3:$A$60,A12,'Asset Register &amp; Governance'!$J$3:$J$60,"No")/B12,0)</f>
        <v>0</v>
      </c>
      <c r="H12" s="10"/>
      <c r="I12" s="10"/>
    </row>
    <row r="13" customFormat="false" ht="30" hidden="false" customHeight="true" outlineLevel="0" collapsed="false">
      <c r="A13" s="15" t="s">
        <v>75</v>
      </c>
      <c r="B13" s="16" t="n">
        <f aca="false">COUNTIFS('Asset Register &amp; Governance'!$A$3:$A$60,A13)</f>
        <v>0</v>
      </c>
      <c r="C13" s="16" t="n">
        <f aca="false">COUNTIFS('Asset Register &amp; Governance'!$A$3:$A$60,A13,'Asset Register &amp; Governance'!$O$3:$O$60,"Green")</f>
        <v>0</v>
      </c>
      <c r="D13" s="16" t="n">
        <f aca="false">COUNTIFS('Asset Register &amp; Governance'!$A$3:$A$60,A13,'Asset Register &amp; Governance'!$O$3:$O$60,"Amber")</f>
        <v>0</v>
      </c>
      <c r="E13" s="16" t="n">
        <f aca="false">COUNTIFS('Asset Register &amp; Governance'!$A$3:$A$60,A13,'Asset Register &amp; Governance'!$O$3:$O$60,"Red")</f>
        <v>0</v>
      </c>
      <c r="F13" s="17" t="str">
        <f aca="false">IF(B13=0,"",IF(E13&gt;0,"Red",IF(D13&gt;0,"Amber","Green")))</f>
        <v/>
      </c>
      <c r="G13" s="18" t="n">
        <f aca="false">IFERROR(COUNTIFS('Asset Register &amp; Governance'!$A$3:$A$60,A13,'Asset Register &amp; Governance'!$J$3:$J$60,"No")/B13,0)</f>
        <v>0</v>
      </c>
      <c r="H13" s="10"/>
      <c r="I13" s="10"/>
    </row>
    <row r="15" customFormat="false" ht="15" hidden="false" customHeight="false" outlineLevel="0" collapsed="false">
      <c r="A15" s="19" t="s">
        <v>76</v>
      </c>
      <c r="B15" s="20" t="n">
        <f aca="false">SUM(B5:B13)</f>
        <v>0</v>
      </c>
      <c r="C15" s="20" t="n">
        <f aca="false">SUM(C5:C13)</f>
        <v>0</v>
      </c>
      <c r="D15" s="20" t="n">
        <f aca="false">SUM(D5:D13)</f>
        <v>0</v>
      </c>
      <c r="E15" s="20" t="n">
        <f aca="false">SUM(E5:E13)</f>
        <v>0</v>
      </c>
    </row>
    <row r="17" customFormat="false" ht="39.75" hidden="false" customHeight="true" outlineLevel="0" collapsed="false">
      <c r="A17" s="21" t="s">
        <v>77</v>
      </c>
      <c r="B17" s="21"/>
      <c r="C17" s="21"/>
      <c r="D17" s="21"/>
      <c r="E17" s="21"/>
      <c r="F17" s="21"/>
      <c r="G17" s="21"/>
      <c r="H17" s="21"/>
      <c r="I17" s="21"/>
    </row>
  </sheetData>
  <mergeCells count="3">
    <mergeCell ref="A1:I1"/>
    <mergeCell ref="A2:I2"/>
    <mergeCell ref="A17:I17"/>
  </mergeCells>
  <conditionalFormatting sqref="F5:F13">
    <cfRule type="cellIs" priority="2" operator="equal" aboveAverage="0" equalAverage="0" bottom="0" percent="0" rank="0" text="" dxfId="0">
      <formula>"Green"</formula>
    </cfRule>
    <cfRule type="cellIs" priority="3" operator="equal" aboveAverage="0" equalAverage="0" bottom="0" percent="0" rank="0" text="" dxfId="1">
      <formula>"Amber"</formula>
    </cfRule>
    <cfRule type="cellIs" priority="4" operator="equal" aboveAverage="0" equalAverage="0" bottom="0" percent="0" rank="0" text="" dxfId="2">
      <formula>"Red"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2026-08-10T16:12:03Z</dcterms:created>
  <dc:creator>openpyxl</dc:creator>
  <dc:description/>
  <dc:language>en-US</dc:language>
  <cp:lastModifiedBy/>
  <dcterms:modified xsi:type="dcterms:W3CDTF">2026-08-10T16:12:03Z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